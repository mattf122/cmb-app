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164" fontId="2" fillId="0" borderId="0" pivotButton="0" quotePrefix="0" xfId="0"/>
    <xf numFmtId="2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selection activeCell="A1" sqref="A1"/>
    </sheetView>
  </sheetViews>
  <sheetFormatPr baseColWidth="8" defaultRowHeight="15"/>
  <cols>
    <col width="42" customWidth="1" min="1" max="1"/>
    <col width="48" customWidth="1" min="2" max="2"/>
    <col width="32" customWidth="1" min="3" max="3"/>
    <col width="42" customWidth="1" min="4" max="4"/>
    <col width="11" customWidth="1" min="5" max="5"/>
    <col width="8" customWidth="1" min="6" max="6"/>
    <col width="13" customWidth="1" min="7" max="7"/>
    <col width="15" customWidth="1" min="8" max="8"/>
    <col width="13" customWidth="1" min="9" max="9"/>
    <col width="14" customWidth="1" min="10" max="10"/>
    <col width="10" customWidth="1" min="11" max="11"/>
    <col width="13" customWidth="1" min="12" max="12"/>
    <col width="14" customWidth="1" min="13" max="13"/>
    <col width="11" customWidth="1" min="14" max="14"/>
    <col width="13" customWidth="1" min="15" max="15"/>
  </cols>
  <sheetData>
    <row r="1">
      <c r="A1" s="1" t="inlineStr">
        <is>
          <t>Category</t>
        </is>
      </c>
      <c r="B1" s="1" t="inlineStr">
        <is>
          <t>Cost Code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</t>
        </is>
      </c>
      <c r="G1" s="1" t="inlineStr">
        <is>
          <t>Unit Cost</t>
        </is>
      </c>
      <c r="H1" s="1" t="inlineStr">
        <is>
          <t>Cost Type</t>
        </is>
      </c>
      <c r="I1" s="1" t="inlineStr">
        <is>
          <t>Marked As</t>
        </is>
      </c>
      <c r="J1" s="1" t="inlineStr">
        <is>
          <t>Builder Cost</t>
        </is>
      </c>
      <c r="K1" s="1" t="inlineStr">
        <is>
          <t>Markup</t>
        </is>
      </c>
      <c r="L1" s="1" t="inlineStr">
        <is>
          <t>Markup Type</t>
        </is>
      </c>
      <c r="M1" s="1" t="inlineStr">
        <is>
          <t>Client Price</t>
        </is>
      </c>
      <c r="N1" s="1" t="inlineStr">
        <is>
          <t>Margin</t>
        </is>
      </c>
      <c r="O1" s="1" t="inlineStr">
        <is>
          <t>Profit</t>
        </is>
      </c>
    </row>
    <row r="2">
      <c r="A2" s="2" t="inlineStr">
        <is>
          <t>00 Procurement and Contracting Requirements</t>
        </is>
      </c>
      <c r="B2" s="2" t="inlineStr">
        <is>
          <t>0.101</t>
        </is>
      </c>
      <c r="C2" s="2" t="inlineStr">
        <is>
          <t>Building Permit</t>
        </is>
      </c>
      <c r="D2" s="2" t="inlineStr">
        <is>
          <t>City/county permit fees</t>
        </is>
      </c>
      <c r="E2" s="3" t="n">
        <v>1</v>
      </c>
      <c r="F2" s="2" t="inlineStr">
        <is>
          <t>LS</t>
        </is>
      </c>
      <c r="G2" s="4" t="n">
        <v>650</v>
      </c>
      <c r="H2" s="2" t="inlineStr">
        <is>
          <t>Labor</t>
        </is>
      </c>
      <c r="I2" s="2" t="inlineStr">
        <is>
          <t>Allowance</t>
        </is>
      </c>
      <c r="J2" s="4">
        <f>E2*G2</f>
        <v/>
      </c>
      <c r="K2" s="5" t="n">
        <v>20</v>
      </c>
      <c r="L2" s="2" t="inlineStr">
        <is>
          <t>%</t>
        </is>
      </c>
      <c r="M2" s="4">
        <f>J2*(1+K2/100)</f>
        <v/>
      </c>
      <c r="N2" s="6">
        <f>IF(M2=0,0,O2/M2)</f>
        <v/>
      </c>
      <c r="O2" s="4">
        <f>M2-J2</f>
        <v/>
      </c>
    </row>
    <row r="3">
      <c r="A3" s="2" t="inlineStr">
        <is>
          <t>00 Procurement and Contracting Requirements</t>
        </is>
      </c>
      <c r="B3" s="2" t="inlineStr">
        <is>
          <t>0.203</t>
        </is>
      </c>
      <c r="C3" s="2" t="inlineStr">
        <is>
          <t>Engineering</t>
        </is>
      </c>
      <c r="D3" s="2" t="inlineStr">
        <is>
          <t>Structural calc for beam</t>
        </is>
      </c>
      <c r="E3" s="3" t="n">
        <v>1</v>
      </c>
      <c r="F3" s="2" t="inlineStr">
        <is>
          <t>LS</t>
        </is>
      </c>
      <c r="G3" s="4" t="n">
        <v>850</v>
      </c>
      <c r="H3" s="2" t="inlineStr">
        <is>
          <t>Subcontractor</t>
        </is>
      </c>
      <c r="I3" s="2" t="inlineStr">
        <is>
          <t>Allowance</t>
        </is>
      </c>
      <c r="J3" s="4">
        <f>E3*G3</f>
        <v/>
      </c>
      <c r="K3" s="5" t="n">
        <v>20</v>
      </c>
      <c r="L3" s="2" t="inlineStr">
        <is>
          <t>%</t>
        </is>
      </c>
      <c r="M3" s="4">
        <f>J3*(1+K3/100)</f>
        <v/>
      </c>
      <c r="N3" s="6">
        <f>IF(M3=0,0,O3/M3)</f>
        <v/>
      </c>
      <c r="O3" s="4">
        <f>M3-J3</f>
        <v/>
      </c>
    </row>
    <row r="4">
      <c r="A4" s="2" t="inlineStr">
        <is>
          <t>01 General Requirements</t>
        </is>
      </c>
      <c r="B4" s="2" t="inlineStr">
        <is>
          <t>1.201</t>
        </is>
      </c>
      <c r="C4" s="2" t="inlineStr">
        <is>
          <t>Project Management</t>
        </is>
      </c>
      <c r="D4" s="2" t="inlineStr">
        <is>
          <t>PM time — coordination, scheduling, owner comm</t>
        </is>
      </c>
      <c r="E4" s="3" t="n">
        <v>40</v>
      </c>
      <c r="F4" s="2" t="inlineStr">
        <is>
          <t>HR</t>
        </is>
      </c>
      <c r="G4" s="4" t="n">
        <v>130</v>
      </c>
      <c r="H4" s="2" t="inlineStr">
        <is>
          <t>Labor</t>
        </is>
      </c>
      <c r="I4" s="2" t="inlineStr">
        <is>
          <t>Estimate</t>
        </is>
      </c>
      <c r="J4" s="4">
        <f>E4*G4</f>
        <v/>
      </c>
      <c r="K4" s="5" t="n">
        <v>20</v>
      </c>
      <c r="L4" s="2" t="inlineStr">
        <is>
          <t>%</t>
        </is>
      </c>
      <c r="M4" s="4">
        <f>J4*(1+K4/100)</f>
        <v/>
      </c>
      <c r="N4" s="6">
        <f>IF(M4=0,0,O4/M4)</f>
        <v/>
      </c>
      <c r="O4" s="4">
        <f>M4-J4</f>
        <v/>
      </c>
    </row>
    <row r="5">
      <c r="A5" s="2" t="inlineStr">
        <is>
          <t>01 General Requirements</t>
        </is>
      </c>
      <c r="B5" s="2" t="inlineStr">
        <is>
          <t>1.201</t>
        </is>
      </c>
      <c r="C5" s="2" t="inlineStr">
        <is>
          <t>Superintendent</t>
        </is>
      </c>
      <c r="D5" s="2" t="inlineStr">
        <is>
          <t>On-site supervision</t>
        </is>
      </c>
      <c r="E5" s="3" t="n">
        <v>20</v>
      </c>
      <c r="F5" s="2" t="inlineStr">
        <is>
          <t>HR</t>
        </is>
      </c>
      <c r="G5" s="4" t="n">
        <v>100</v>
      </c>
      <c r="H5" s="2" t="inlineStr">
        <is>
          <t>Labor</t>
        </is>
      </c>
      <c r="I5" s="2" t="inlineStr">
        <is>
          <t>Estimate</t>
        </is>
      </c>
      <c r="J5" s="4">
        <f>E5*G5</f>
        <v/>
      </c>
      <c r="K5" s="5" t="n">
        <v>20</v>
      </c>
      <c r="L5" s="2" t="inlineStr">
        <is>
          <t>%</t>
        </is>
      </c>
      <c r="M5" s="4">
        <f>J5*(1+K5/100)</f>
        <v/>
      </c>
      <c r="N5" s="6">
        <f>IF(M5=0,0,O5/M5)</f>
        <v/>
      </c>
      <c r="O5" s="4">
        <f>M5-J5</f>
        <v/>
      </c>
    </row>
    <row r="6">
      <c r="A6" s="2" t="inlineStr">
        <is>
          <t>01 General Requirements</t>
        </is>
      </c>
      <c r="B6" s="2" t="inlineStr">
        <is>
          <t>1.901</t>
        </is>
      </c>
      <c r="C6" s="2" t="inlineStr">
        <is>
          <t>Dumpster Labor</t>
        </is>
      </c>
      <c r="D6" s="2" t="inlineStr">
        <is>
          <t>Loading/hauling</t>
        </is>
      </c>
      <c r="E6" s="3" t="n">
        <v>2</v>
      </c>
      <c r="F6" s="2" t="inlineStr">
        <is>
          <t>HR</t>
        </is>
      </c>
      <c r="G6" s="4" t="n">
        <v>85</v>
      </c>
      <c r="H6" s="2" t="inlineStr">
        <is>
          <t>Labor</t>
        </is>
      </c>
      <c r="I6" s="2" t="inlineStr">
        <is>
          <t>Estimate</t>
        </is>
      </c>
      <c r="J6" s="4">
        <f>E6*G6</f>
        <v/>
      </c>
      <c r="K6" s="5" t="n">
        <v>20</v>
      </c>
      <c r="L6" s="2" t="inlineStr">
        <is>
          <t>%</t>
        </is>
      </c>
      <c r="M6" s="4">
        <f>J6*(1+K6/100)</f>
        <v/>
      </c>
      <c r="N6" s="6">
        <f>IF(M6=0,0,O6/M6)</f>
        <v/>
      </c>
      <c r="O6" s="4">
        <f>M6-J6</f>
        <v/>
      </c>
    </row>
    <row r="7">
      <c r="A7" s="2" t="inlineStr">
        <is>
          <t>01 General Requirements</t>
        </is>
      </c>
      <c r="B7" s="2" t="inlineStr">
        <is>
          <t>1.902</t>
        </is>
      </c>
      <c r="C7" s="2" t="inlineStr">
        <is>
          <t>Dumpster Rental</t>
        </is>
      </c>
      <c r="D7" s="2" t="inlineStr">
        <is>
          <t>20-yd container + 2 swaps</t>
        </is>
      </c>
      <c r="E7" s="3" t="n">
        <v>1</v>
      </c>
      <c r="F7" s="2" t="inlineStr">
        <is>
          <t>LS</t>
        </is>
      </c>
      <c r="G7" s="4" t="n">
        <v>950</v>
      </c>
      <c r="H7" s="2" t="inlineStr">
        <is>
          <t>Material</t>
        </is>
      </c>
      <c r="I7" s="2" t="inlineStr">
        <is>
          <t>Estimate</t>
        </is>
      </c>
      <c r="J7" s="4">
        <f>E7*G7</f>
        <v/>
      </c>
      <c r="K7" s="5" t="n">
        <v>20</v>
      </c>
      <c r="L7" s="2" t="inlineStr">
        <is>
          <t>%</t>
        </is>
      </c>
      <c r="M7" s="4">
        <f>J7*(1+K7/100)</f>
        <v/>
      </c>
      <c r="N7" s="6">
        <f>IF(M7=0,0,O7/M7)</f>
        <v/>
      </c>
      <c r="O7" s="4">
        <f>M7-J7</f>
        <v/>
      </c>
    </row>
    <row r="8">
      <c r="A8" s="2" t="inlineStr">
        <is>
          <t>01 General Requirements</t>
        </is>
      </c>
      <c r="B8" s="2" t="inlineStr">
        <is>
          <t>1.901</t>
        </is>
      </c>
      <c r="C8" s="2" t="inlineStr">
        <is>
          <t>Daily Cleanup</t>
        </is>
      </c>
      <c r="D8" s="2" t="inlineStr">
        <is>
          <t>Daily broom-clean and final clean</t>
        </is>
      </c>
      <c r="E8" s="3" t="n">
        <v>16</v>
      </c>
      <c r="F8" s="2" t="inlineStr">
        <is>
          <t>HR</t>
        </is>
      </c>
      <c r="G8" s="4" t="n">
        <v>85</v>
      </c>
      <c r="H8" s="2" t="inlineStr">
        <is>
          <t>Labor</t>
        </is>
      </c>
      <c r="I8" s="2" t="inlineStr">
        <is>
          <t>Estimate</t>
        </is>
      </c>
      <c r="J8" s="4">
        <f>E8*G8</f>
        <v/>
      </c>
      <c r="K8" s="5" t="n">
        <v>20</v>
      </c>
      <c r="L8" s="2" t="inlineStr">
        <is>
          <t>%</t>
        </is>
      </c>
      <c r="M8" s="4">
        <f>J8*(1+K8/100)</f>
        <v/>
      </c>
      <c r="N8" s="6">
        <f>IF(M8=0,0,O8/M8)</f>
        <v/>
      </c>
      <c r="O8" s="4">
        <f>M8-J8</f>
        <v/>
      </c>
    </row>
    <row r="9">
      <c r="A9" s="2" t="inlineStr">
        <is>
          <t>01 General Requirements</t>
        </is>
      </c>
      <c r="B9" s="2" t="inlineStr">
        <is>
          <t>1.902</t>
        </is>
      </c>
      <c r="C9" s="2" t="inlineStr">
        <is>
          <t>Cleaning Supplies</t>
        </is>
      </c>
      <c r="D9" s="2" t="inlineStr">
        <is>
          <t>Consumables for cleanup</t>
        </is>
      </c>
      <c r="E9" s="3" t="n">
        <v>1</v>
      </c>
      <c r="F9" s="2" t="inlineStr">
        <is>
          <t>LS</t>
        </is>
      </c>
      <c r="G9" s="4" t="n">
        <v>150</v>
      </c>
      <c r="H9" s="2" t="inlineStr">
        <is>
          <t>Material</t>
        </is>
      </c>
      <c r="I9" s="2" t="inlineStr">
        <is>
          <t>Estimate</t>
        </is>
      </c>
      <c r="J9" s="4">
        <f>E9*G9</f>
        <v/>
      </c>
      <c r="K9" s="5" t="n">
        <v>20</v>
      </c>
      <c r="L9" s="2" t="inlineStr">
        <is>
          <t>%</t>
        </is>
      </c>
      <c r="M9" s="4">
        <f>J9*(1+K9/100)</f>
        <v/>
      </c>
      <c r="N9" s="6">
        <f>IF(M9=0,0,O9/M9)</f>
        <v/>
      </c>
      <c r="O9" s="4">
        <f>M9-J9</f>
        <v/>
      </c>
    </row>
    <row r="10">
      <c r="A10" s="2" t="inlineStr">
        <is>
          <t>01 General Requirements</t>
        </is>
      </c>
      <c r="B10" s="2" t="inlineStr">
        <is>
          <t>1.301</t>
        </is>
      </c>
      <c r="C10" s="2" t="inlineStr">
        <is>
          <t>Protection Labor</t>
        </is>
      </c>
      <c r="D10" s="2" t="inlineStr">
        <is>
          <t>Install/remove protection</t>
        </is>
      </c>
      <c r="E10" s="3" t="n">
        <v>4</v>
      </c>
      <c r="F10" s="2" t="inlineStr">
        <is>
          <t>HR</t>
        </is>
      </c>
      <c r="G10" s="4" t="n">
        <v>85</v>
      </c>
      <c r="H10" s="2" t="inlineStr">
        <is>
          <t>Labor</t>
        </is>
      </c>
      <c r="I10" s="2" t="inlineStr">
        <is>
          <t>Estimate</t>
        </is>
      </c>
      <c r="J10" s="4">
        <f>E10*G10</f>
        <v/>
      </c>
      <c r="K10" s="5" t="n">
        <v>20</v>
      </c>
      <c r="L10" s="2" t="inlineStr">
        <is>
          <t>%</t>
        </is>
      </c>
      <c r="M10" s="4">
        <f>J10*(1+K10/100)</f>
        <v/>
      </c>
      <c r="N10" s="6">
        <f>IF(M10=0,0,O10/M10)</f>
        <v/>
      </c>
      <c r="O10" s="4">
        <f>M10-J10</f>
        <v/>
      </c>
    </row>
    <row r="11">
      <c r="A11" s="2" t="inlineStr">
        <is>
          <t>01 General Requirements</t>
        </is>
      </c>
      <c r="B11" s="2" t="inlineStr">
        <is>
          <t>1.302</t>
        </is>
      </c>
      <c r="C11" s="2" t="inlineStr">
        <is>
          <t>Protection Material</t>
        </is>
      </c>
      <c r="D11" s="2" t="inlineStr">
        <is>
          <t>Ram Board, zip walls, plastic</t>
        </is>
      </c>
      <c r="E11" s="3" t="n">
        <v>1</v>
      </c>
      <c r="F11" s="2" t="inlineStr">
        <is>
          <t>LS</t>
        </is>
      </c>
      <c r="G11" s="4" t="n">
        <v>320</v>
      </c>
      <c r="H11" s="2" t="inlineStr">
        <is>
          <t>Material</t>
        </is>
      </c>
      <c r="I11" s="2" t="inlineStr">
        <is>
          <t>Estimate</t>
        </is>
      </c>
      <c r="J11" s="4">
        <f>E11*G11</f>
        <v/>
      </c>
      <c r="K11" s="5" t="n">
        <v>20</v>
      </c>
      <c r="L11" s="2" t="inlineStr">
        <is>
          <t>%</t>
        </is>
      </c>
      <c r="M11" s="4">
        <f>J11*(1+K11/100)</f>
        <v/>
      </c>
      <c r="N11" s="6">
        <f>IF(M11=0,0,O11/M11)</f>
        <v/>
      </c>
      <c r="O11" s="4">
        <f>M11-J11</f>
        <v/>
      </c>
    </row>
    <row r="12">
      <c r="A12" s="2" t="inlineStr">
        <is>
          <t>01 General Requirements</t>
        </is>
      </c>
      <c r="B12" s="2" t="inlineStr">
        <is>
          <t>1.701</t>
        </is>
      </c>
      <c r="C12" s="2" t="inlineStr">
        <is>
          <t>GL Insurance Allocation</t>
        </is>
      </c>
      <c r="D12" s="2" t="inlineStr">
        <is>
          <t>Prorated GL insurance for job duration</t>
        </is>
      </c>
      <c r="E12" s="3" t="n">
        <v>1</v>
      </c>
      <c r="F12" s="2" t="inlineStr">
        <is>
          <t>LS</t>
        </is>
      </c>
      <c r="G12" s="4" t="n">
        <v>650</v>
      </c>
      <c r="H12" s="2" t="inlineStr">
        <is>
          <t>Labor</t>
        </is>
      </c>
      <c r="I12" s="2" t="inlineStr">
        <is>
          <t>Estimate</t>
        </is>
      </c>
      <c r="J12" s="4">
        <f>E12*G12</f>
        <v/>
      </c>
      <c r="K12" s="5" t="n">
        <v>20</v>
      </c>
      <c r="L12" s="2" t="inlineStr">
        <is>
          <t>%</t>
        </is>
      </c>
      <c r="M12" s="4">
        <f>J12*(1+K12/100)</f>
        <v/>
      </c>
      <c r="N12" s="6">
        <f>IF(M12=0,0,O12/M12)</f>
        <v/>
      </c>
      <c r="O12" s="4">
        <f>M12-J12</f>
        <v/>
      </c>
    </row>
    <row r="13">
      <c r="A13" s="2" t="inlineStr">
        <is>
          <t>02 Existing Conditions</t>
        </is>
      </c>
      <c r="B13" s="2" t="inlineStr">
        <is>
          <t>2.201</t>
        </is>
      </c>
      <c r="C13" s="2" t="inlineStr">
        <is>
          <t>Cabinet Demo Labor</t>
        </is>
      </c>
      <c r="D13" s="2" t="inlineStr">
        <is>
          <t>Remove existing uppers and lowers</t>
        </is>
      </c>
      <c r="E13" s="3" t="n">
        <v>8</v>
      </c>
      <c r="F13" s="2" t="inlineStr">
        <is>
          <t>HR</t>
        </is>
      </c>
      <c r="G13" s="4" t="n">
        <v>85</v>
      </c>
      <c r="H13" s="2" t="inlineStr">
        <is>
          <t>Labor</t>
        </is>
      </c>
      <c r="I13" s="2" t="inlineStr">
        <is>
          <t>Estimate</t>
        </is>
      </c>
      <c r="J13" s="4">
        <f>E13*G13</f>
        <v/>
      </c>
      <c r="K13" s="5" t="n">
        <v>20</v>
      </c>
      <c r="L13" s="2" t="inlineStr">
        <is>
          <t>%</t>
        </is>
      </c>
      <c r="M13" s="4">
        <f>J13*(1+K13/100)</f>
        <v/>
      </c>
      <c r="N13" s="6">
        <f>IF(M13=0,0,O13/M13)</f>
        <v/>
      </c>
      <c r="O13" s="4">
        <f>M13-J13</f>
        <v/>
      </c>
    </row>
    <row r="14">
      <c r="A14" s="2" t="inlineStr">
        <is>
          <t>02 Existing Conditions</t>
        </is>
      </c>
      <c r="B14" s="2" t="inlineStr">
        <is>
          <t>2.202</t>
        </is>
      </c>
      <c r="C14" s="2" t="inlineStr">
        <is>
          <t>Cabinet Demo Disposal</t>
        </is>
      </c>
      <c r="D14" s="2" t="inlineStr">
        <is>
          <t>Haul-away &amp; dump fees</t>
        </is>
      </c>
      <c r="E14" s="3" t="n">
        <v>22</v>
      </c>
      <c r="F14" s="2" t="inlineStr">
        <is>
          <t>LF</t>
        </is>
      </c>
      <c r="G14" s="4" t="n">
        <v>25</v>
      </c>
      <c r="H14" s="2" t="inlineStr">
        <is>
          <t>Material</t>
        </is>
      </c>
      <c r="I14" s="2" t="inlineStr">
        <is>
          <t>Estimate</t>
        </is>
      </c>
      <c r="J14" s="4">
        <f>E14*G14</f>
        <v/>
      </c>
      <c r="K14" s="5" t="n">
        <v>20</v>
      </c>
      <c r="L14" s="2" t="inlineStr">
        <is>
          <t>%</t>
        </is>
      </c>
      <c r="M14" s="4">
        <f>J14*(1+K14/100)</f>
        <v/>
      </c>
      <c r="N14" s="6">
        <f>IF(M14=0,0,O14/M14)</f>
        <v/>
      </c>
      <c r="O14" s="4">
        <f>M14-J14</f>
        <v/>
      </c>
    </row>
    <row r="15">
      <c r="A15" s="2" t="inlineStr">
        <is>
          <t>02 Existing Conditions</t>
        </is>
      </c>
      <c r="B15" s="2" t="inlineStr">
        <is>
          <t>2.201</t>
        </is>
      </c>
      <c r="C15" s="2" t="inlineStr">
        <is>
          <t>Countertop Removal Labor</t>
        </is>
      </c>
      <c r="D15" s="2" t="inlineStr">
        <is>
          <t>Carefully demo tops and tile</t>
        </is>
      </c>
      <c r="E15" s="3" t="n">
        <v>4</v>
      </c>
      <c r="F15" s="2" t="inlineStr">
        <is>
          <t>HR</t>
        </is>
      </c>
      <c r="G15" s="4" t="n">
        <v>85</v>
      </c>
      <c r="H15" s="2" t="inlineStr">
        <is>
          <t>Labor</t>
        </is>
      </c>
      <c r="I15" s="2" t="inlineStr">
        <is>
          <t>Estimate</t>
        </is>
      </c>
      <c r="J15" s="4">
        <f>E15*G15</f>
        <v/>
      </c>
      <c r="K15" s="5" t="n">
        <v>20</v>
      </c>
      <c r="L15" s="2" t="inlineStr">
        <is>
          <t>%</t>
        </is>
      </c>
      <c r="M15" s="4">
        <f>J15*(1+K15/100)</f>
        <v/>
      </c>
      <c r="N15" s="6">
        <f>IF(M15=0,0,O15/M15)</f>
        <v/>
      </c>
      <c r="O15" s="4">
        <f>M15-J15</f>
        <v/>
      </c>
    </row>
    <row r="16">
      <c r="A16" s="2" t="inlineStr">
        <is>
          <t>02 Existing Conditions</t>
        </is>
      </c>
      <c r="B16" s="2" t="inlineStr">
        <is>
          <t>2.202</t>
        </is>
      </c>
      <c r="C16" s="2" t="inlineStr">
        <is>
          <t>Countertop Disposal</t>
        </is>
      </c>
      <c r="D16" s="2" t="inlineStr">
        <is>
          <t>Haul-away &amp; dump fees</t>
        </is>
      </c>
      <c r="E16" s="3" t="n">
        <v>38</v>
      </c>
      <c r="F16" s="2" t="inlineStr">
        <is>
          <t>SF</t>
        </is>
      </c>
      <c r="G16" s="4" t="n">
        <v>8</v>
      </c>
      <c r="H16" s="2" t="inlineStr">
        <is>
          <t>Material</t>
        </is>
      </c>
      <c r="I16" s="2" t="inlineStr">
        <is>
          <t>Estimate</t>
        </is>
      </c>
      <c r="J16" s="4">
        <f>E16*G16</f>
        <v/>
      </c>
      <c r="K16" s="5" t="n">
        <v>20</v>
      </c>
      <c r="L16" s="2" t="inlineStr">
        <is>
          <t>%</t>
        </is>
      </c>
      <c r="M16" s="4">
        <f>J16*(1+K16/100)</f>
        <v/>
      </c>
      <c r="N16" s="6">
        <f>IF(M16=0,0,O16/M16)</f>
        <v/>
      </c>
      <c r="O16" s="4">
        <f>M16-J16</f>
        <v/>
      </c>
    </row>
    <row r="17">
      <c r="A17" s="2" t="inlineStr">
        <is>
          <t>02 Existing Conditions</t>
        </is>
      </c>
      <c r="B17" s="2" t="inlineStr">
        <is>
          <t>2.201</t>
        </is>
      </c>
      <c r="C17" s="2" t="inlineStr">
        <is>
          <t>Wall Demo w/ Temp Shoring</t>
        </is>
      </c>
      <c r="D17" s="2" t="inlineStr">
        <is>
          <t>Remove wall, install temp support</t>
        </is>
      </c>
      <c r="E17" s="3" t="n">
        <v>16</v>
      </c>
      <c r="F17" s="2" t="inlineStr">
        <is>
          <t>HR</t>
        </is>
      </c>
      <c r="G17" s="4" t="n">
        <v>100</v>
      </c>
      <c r="H17" s="2" t="inlineStr">
        <is>
          <t>Labor</t>
        </is>
      </c>
      <c r="I17" s="2" t="inlineStr">
        <is>
          <t>Estimate</t>
        </is>
      </c>
      <c r="J17" s="4">
        <f>E17*G17</f>
        <v/>
      </c>
      <c r="K17" s="5" t="n">
        <v>20</v>
      </c>
      <c r="L17" s="2" t="inlineStr">
        <is>
          <t>%</t>
        </is>
      </c>
      <c r="M17" s="4">
        <f>J17*(1+K17/100)</f>
        <v/>
      </c>
      <c r="N17" s="6">
        <f>IF(M17=0,0,O17/M17)</f>
        <v/>
      </c>
      <c r="O17" s="4">
        <f>M17-J17</f>
        <v/>
      </c>
    </row>
    <row r="18">
      <c r="A18" s="2" t="inlineStr">
        <is>
          <t>02 Existing Conditions</t>
        </is>
      </c>
      <c r="B18" s="2" t="inlineStr">
        <is>
          <t>2.202</t>
        </is>
      </c>
      <c r="C18" s="2" t="inlineStr">
        <is>
          <t>Shoring + Disposal</t>
        </is>
      </c>
      <c r="D18" s="2" t="inlineStr">
        <is>
          <t>Temp shoring lumber &amp; debris removal</t>
        </is>
      </c>
      <c r="E18" s="3" t="n">
        <v>1</v>
      </c>
      <c r="F18" s="2" t="inlineStr">
        <is>
          <t>EA</t>
        </is>
      </c>
      <c r="G18" s="4" t="n">
        <v>1200</v>
      </c>
      <c r="H18" s="2" t="inlineStr">
        <is>
          <t>Material</t>
        </is>
      </c>
      <c r="I18" s="2" t="inlineStr">
        <is>
          <t>Estimate</t>
        </is>
      </c>
      <c r="J18" s="4">
        <f>E18*G18</f>
        <v/>
      </c>
      <c r="K18" s="5" t="n">
        <v>20</v>
      </c>
      <c r="L18" s="2" t="inlineStr">
        <is>
          <t>%</t>
        </is>
      </c>
      <c r="M18" s="4">
        <f>J18*(1+K18/100)</f>
        <v/>
      </c>
      <c r="N18" s="6">
        <f>IF(M18=0,0,O18/M18)</f>
        <v/>
      </c>
      <c r="O18" s="4">
        <f>M18-J18</f>
        <v/>
      </c>
    </row>
    <row r="19">
      <c r="A19" s="2" t="inlineStr">
        <is>
          <t>02 Existing Conditions</t>
        </is>
      </c>
      <c r="B19" s="2" t="inlineStr">
        <is>
          <t>2.201</t>
        </is>
      </c>
      <c r="C19" s="2" t="inlineStr">
        <is>
          <t>Floor Demo Labor</t>
        </is>
      </c>
      <c r="D19" s="2" t="inlineStr">
        <is>
          <t>Remove existing flooring to subfloor</t>
        </is>
      </c>
      <c r="E19" s="3" t="n">
        <v>6</v>
      </c>
      <c r="F19" s="2" t="inlineStr">
        <is>
          <t>HR</t>
        </is>
      </c>
      <c r="G19" s="4" t="n">
        <v>85</v>
      </c>
      <c r="H19" s="2" t="inlineStr">
        <is>
          <t>Labor</t>
        </is>
      </c>
      <c r="I19" s="2" t="inlineStr">
        <is>
          <t>Estimate</t>
        </is>
      </c>
      <c r="J19" s="4">
        <f>E19*G19</f>
        <v/>
      </c>
      <c r="K19" s="5" t="n">
        <v>20</v>
      </c>
      <c r="L19" s="2" t="inlineStr">
        <is>
          <t>%</t>
        </is>
      </c>
      <c r="M19" s="4">
        <f>J19*(1+K19/100)</f>
        <v/>
      </c>
      <c r="N19" s="6">
        <f>IF(M19=0,0,O19/M19)</f>
        <v/>
      </c>
      <c r="O19" s="4">
        <f>M19-J19</f>
        <v/>
      </c>
    </row>
    <row r="20">
      <c r="A20" s="2" t="inlineStr">
        <is>
          <t>02 Existing Conditions</t>
        </is>
      </c>
      <c r="B20" s="2" t="inlineStr">
        <is>
          <t>2.202</t>
        </is>
      </c>
      <c r="C20" s="2" t="inlineStr">
        <is>
          <t>Floor Demo Disposal</t>
        </is>
      </c>
      <c r="D20" s="2" t="inlineStr">
        <is>
          <t>Haul-away &amp; dump fees</t>
        </is>
      </c>
      <c r="E20" s="3" t="n">
        <v>280</v>
      </c>
      <c r="F20" s="2" t="inlineStr">
        <is>
          <t>SF</t>
        </is>
      </c>
      <c r="G20" s="4" t="n">
        <v>2</v>
      </c>
      <c r="H20" s="2" t="inlineStr">
        <is>
          <t>Material</t>
        </is>
      </c>
      <c r="I20" s="2" t="inlineStr">
        <is>
          <t>Estimate</t>
        </is>
      </c>
      <c r="J20" s="4">
        <f>E20*G20</f>
        <v/>
      </c>
      <c r="K20" s="5" t="n">
        <v>20</v>
      </c>
      <c r="L20" s="2" t="inlineStr">
        <is>
          <t>%</t>
        </is>
      </c>
      <c r="M20" s="4">
        <f>J20*(1+K20/100)</f>
        <v/>
      </c>
      <c r="N20" s="6">
        <f>IF(M20=0,0,O20/M20)</f>
        <v/>
      </c>
      <c r="O20" s="4">
        <f>M20-J20</f>
        <v/>
      </c>
    </row>
    <row r="21">
      <c r="A21" s="2" t="inlineStr">
        <is>
          <t>06 Woods, Plastics, and Composites</t>
        </is>
      </c>
      <c r="B21" s="2" t="inlineStr">
        <is>
          <t>6.101</t>
        </is>
      </c>
      <c r="C21" s="2" t="inlineStr">
        <is>
          <t>Blocking Labor</t>
        </is>
      </c>
      <c r="D21" s="2" t="inlineStr">
        <is>
          <t>Backing for cabinets and accessories</t>
        </is>
      </c>
      <c r="E21" s="3" t="n">
        <v>6</v>
      </c>
      <c r="F21" s="2" t="inlineStr">
        <is>
          <t>HR</t>
        </is>
      </c>
      <c r="G21" s="4" t="n">
        <v>85</v>
      </c>
      <c r="H21" s="2" t="inlineStr">
        <is>
          <t>Labor</t>
        </is>
      </c>
      <c r="I21" s="2" t="inlineStr">
        <is>
          <t>Estimate</t>
        </is>
      </c>
      <c r="J21" s="4">
        <f>E21*G21</f>
        <v/>
      </c>
      <c r="K21" s="5" t="n">
        <v>20</v>
      </c>
      <c r="L21" s="2" t="inlineStr">
        <is>
          <t>%</t>
        </is>
      </c>
      <c r="M21" s="4">
        <f>J21*(1+K21/100)</f>
        <v/>
      </c>
      <c r="N21" s="6">
        <f>IF(M21=0,0,O21/M21)</f>
        <v/>
      </c>
      <c r="O21" s="4">
        <f>M21-J21</f>
        <v/>
      </c>
    </row>
    <row r="22">
      <c r="A22" s="2" t="inlineStr">
        <is>
          <t>06 Woods, Plastics, and Composites</t>
        </is>
      </c>
      <c r="B22" s="2" t="inlineStr">
        <is>
          <t>6.102</t>
        </is>
      </c>
      <c r="C22" s="2" t="inlineStr">
        <is>
          <t>Blocking Material</t>
        </is>
      </c>
      <c r="D22" s="2" t="inlineStr">
        <is>
          <t>Lumber for blocking/backing</t>
        </is>
      </c>
      <c r="E22" s="3" t="n">
        <v>1</v>
      </c>
      <c r="F22" s="2" t="inlineStr">
        <is>
          <t>LS</t>
        </is>
      </c>
      <c r="G22" s="4" t="n">
        <v>280</v>
      </c>
      <c r="H22" s="2" t="inlineStr">
        <is>
          <t>Material</t>
        </is>
      </c>
      <c r="I22" s="2" t="inlineStr">
        <is>
          <t>Estimate</t>
        </is>
      </c>
      <c r="J22" s="4">
        <f>E22*G22</f>
        <v/>
      </c>
      <c r="K22" s="5" t="n">
        <v>20</v>
      </c>
      <c r="L22" s="2" t="inlineStr">
        <is>
          <t>%</t>
        </is>
      </c>
      <c r="M22" s="4">
        <f>J22*(1+K22/100)</f>
        <v/>
      </c>
      <c r="N22" s="6">
        <f>IF(M22=0,0,O22/M22)</f>
        <v/>
      </c>
      <c r="O22" s="4">
        <f>M22-J22</f>
        <v/>
      </c>
    </row>
    <row r="23">
      <c r="A23" s="2" t="inlineStr">
        <is>
          <t>06 Woods, Plastics, and Composites</t>
        </is>
      </c>
      <c r="B23" s="2" t="inlineStr">
        <is>
          <t>6.101</t>
        </is>
      </c>
      <c r="C23" s="2" t="inlineStr">
        <is>
          <t>Beam Install Labor</t>
        </is>
      </c>
      <c r="D23" s="2" t="inlineStr">
        <is>
          <t>Set LVL beam per engineer's detail</t>
        </is>
      </c>
      <c r="E23" s="3" t="n">
        <v>12</v>
      </c>
      <c r="F23" s="2" t="inlineStr">
        <is>
          <t>HR</t>
        </is>
      </c>
      <c r="G23" s="4" t="n">
        <v>100</v>
      </c>
      <c r="H23" s="2" t="inlineStr">
        <is>
          <t>Labor</t>
        </is>
      </c>
      <c r="I23" s="2" t="inlineStr">
        <is>
          <t>Estimate</t>
        </is>
      </c>
      <c r="J23" s="4">
        <f>E23*G23</f>
        <v/>
      </c>
      <c r="K23" s="5" t="n">
        <v>20</v>
      </c>
      <c r="L23" s="2" t="inlineStr">
        <is>
          <t>%</t>
        </is>
      </c>
      <c r="M23" s="4">
        <f>J23*(1+K23/100)</f>
        <v/>
      </c>
      <c r="N23" s="6">
        <f>IF(M23=0,0,O23/M23)</f>
        <v/>
      </c>
      <c r="O23" s="4">
        <f>M23-J23</f>
        <v/>
      </c>
    </row>
    <row r="24">
      <c r="A24" s="2" t="inlineStr">
        <is>
          <t>06 Woods, Plastics, and Composites</t>
        </is>
      </c>
      <c r="B24" s="2" t="inlineStr">
        <is>
          <t>6.102</t>
        </is>
      </c>
      <c r="C24" s="2" t="inlineStr">
        <is>
          <t>LVL Beam &amp; Fasteners</t>
        </is>
      </c>
      <c r="D24" s="2" t="inlineStr">
        <is>
          <t>LVL beam with fasteners and hangers</t>
        </is>
      </c>
      <c r="E24" s="3" t="n">
        <v>1</v>
      </c>
      <c r="F24" s="2" t="inlineStr">
        <is>
          <t>EA</t>
        </is>
      </c>
      <c r="G24" s="4" t="n">
        <v>1800</v>
      </c>
      <c r="H24" s="2" t="inlineStr">
        <is>
          <t>Material</t>
        </is>
      </c>
      <c r="I24" s="2" t="inlineStr">
        <is>
          <t>Estimate</t>
        </is>
      </c>
      <c r="J24" s="4">
        <f>E24*G24</f>
        <v/>
      </c>
      <c r="K24" s="5" t="n">
        <v>20</v>
      </c>
      <c r="L24" s="2" t="inlineStr">
        <is>
          <t>%</t>
        </is>
      </c>
      <c r="M24" s="4">
        <f>J24*(1+K24/100)</f>
        <v/>
      </c>
      <c r="N24" s="6">
        <f>IF(M24=0,0,O24/M24)</f>
        <v/>
      </c>
      <c r="O24" s="4">
        <f>M24-J24</f>
        <v/>
      </c>
    </row>
    <row r="25">
      <c r="A25" s="2" t="inlineStr">
        <is>
          <t>06 Woods, Plastics, and Composites</t>
        </is>
      </c>
      <c r="B25" s="2" t="inlineStr">
        <is>
          <t>6.101</t>
        </is>
      </c>
      <c r="C25" s="2" t="inlineStr">
        <is>
          <t>Subfloor Repair Labor</t>
        </is>
      </c>
      <c r="D25" s="2" t="inlineStr">
        <is>
          <t>Patch subfloor as needed</t>
        </is>
      </c>
      <c r="E25" s="3" t="n">
        <v>6</v>
      </c>
      <c r="F25" s="2" t="inlineStr">
        <is>
          <t>HR</t>
        </is>
      </c>
      <c r="G25" s="4" t="n">
        <v>85</v>
      </c>
      <c r="H25" s="2" t="inlineStr">
        <is>
          <t>Labor</t>
        </is>
      </c>
      <c r="I25" s="2" t="inlineStr">
        <is>
          <t>Estimate</t>
        </is>
      </c>
      <c r="J25" s="4">
        <f>E25*G25</f>
        <v/>
      </c>
      <c r="K25" s="5" t="n">
        <v>20</v>
      </c>
      <c r="L25" s="2" t="inlineStr">
        <is>
          <t>%</t>
        </is>
      </c>
      <c r="M25" s="4">
        <f>J25*(1+K25/100)</f>
        <v/>
      </c>
      <c r="N25" s="6">
        <f>IF(M25=0,0,O25/M25)</f>
        <v/>
      </c>
      <c r="O25" s="4">
        <f>M25-J25</f>
        <v/>
      </c>
    </row>
    <row r="26">
      <c r="A26" s="2" t="inlineStr">
        <is>
          <t>06 Woods, Plastics, and Composites</t>
        </is>
      </c>
      <c r="B26" s="2" t="inlineStr">
        <is>
          <t>6.102</t>
        </is>
      </c>
      <c r="C26" s="2" t="inlineStr">
        <is>
          <t>Subfloor Patch Material</t>
        </is>
      </c>
      <c r="D26" s="2" t="inlineStr">
        <is>
          <t>3/4" AdvanTech patches</t>
        </is>
      </c>
      <c r="E26" s="3" t="n">
        <v>1</v>
      </c>
      <c r="F26" s="2" t="inlineStr">
        <is>
          <t>LS</t>
        </is>
      </c>
      <c r="G26" s="4" t="n">
        <v>220</v>
      </c>
      <c r="H26" s="2" t="inlineStr">
        <is>
          <t>Material</t>
        </is>
      </c>
      <c r="I26" s="2" t="inlineStr">
        <is>
          <t>Estimate</t>
        </is>
      </c>
      <c r="J26" s="4">
        <f>E26*G26</f>
        <v/>
      </c>
      <c r="K26" s="5" t="n">
        <v>20</v>
      </c>
      <c r="L26" s="2" t="inlineStr">
        <is>
          <t>%</t>
        </is>
      </c>
      <c r="M26" s="4">
        <f>J26*(1+K26/100)</f>
        <v/>
      </c>
      <c r="N26" s="6">
        <f>IF(M26=0,0,O26/M26)</f>
        <v/>
      </c>
      <c r="O26" s="4">
        <f>M26-J26</f>
        <v/>
      </c>
    </row>
    <row r="27">
      <c r="A27" s="2" t="inlineStr">
        <is>
          <t>09 Finishes</t>
        </is>
      </c>
      <c r="B27" s="2" t="inlineStr">
        <is>
          <t>9.303</t>
        </is>
      </c>
      <c r="C27" s="2" t="inlineStr">
        <is>
          <t>Tile Backsplash</t>
        </is>
      </c>
      <c r="D27" s="2" t="inlineStr">
        <is>
          <t>Install subway tile, grout &amp; seal</t>
        </is>
      </c>
      <c r="E27" s="3" t="n">
        <v>38</v>
      </c>
      <c r="F27" s="2" t="inlineStr">
        <is>
          <t>SF</t>
        </is>
      </c>
      <c r="G27" s="4" t="n">
        <v>32</v>
      </c>
      <c r="H27" s="2" t="inlineStr">
        <is>
          <t>Subcontractor</t>
        </is>
      </c>
      <c r="I27" s="2" t="inlineStr">
        <is>
          <t>Allowance</t>
        </is>
      </c>
      <c r="J27" s="4">
        <f>E27*G27</f>
        <v/>
      </c>
      <c r="K27" s="5" t="n">
        <v>20</v>
      </c>
      <c r="L27" s="2" t="inlineStr">
        <is>
          <t>%</t>
        </is>
      </c>
      <c r="M27" s="4">
        <f>J27*(1+K27/100)</f>
        <v/>
      </c>
      <c r="N27" s="6">
        <f>IF(M27=0,0,O27/M27)</f>
        <v/>
      </c>
      <c r="O27" s="4">
        <f>M27-J27</f>
        <v/>
      </c>
    </row>
    <row r="28">
      <c r="A28" s="2" t="inlineStr">
        <is>
          <t>09 Finishes</t>
        </is>
      </c>
      <c r="B28" s="2" t="inlineStr">
        <is>
          <t>9.503</t>
        </is>
      </c>
      <c r="C28" s="2" t="inlineStr">
        <is>
          <t>LVP Flooring</t>
        </is>
      </c>
      <c r="D28" s="2" t="inlineStr">
        <is>
          <t>Supply &amp; install LVP plank flooring</t>
        </is>
      </c>
      <c r="E28" s="3" t="n">
        <v>280</v>
      </c>
      <c r="F28" s="2" t="inlineStr">
        <is>
          <t>SF</t>
        </is>
      </c>
      <c r="G28" s="4" t="n">
        <v>11</v>
      </c>
      <c r="H28" s="2" t="inlineStr">
        <is>
          <t>Subcontractor</t>
        </is>
      </c>
      <c r="I28" s="2" t="inlineStr">
        <is>
          <t>Allowance</t>
        </is>
      </c>
      <c r="J28" s="4">
        <f>E28*G28</f>
        <v/>
      </c>
      <c r="K28" s="5" t="n">
        <v>20</v>
      </c>
      <c r="L28" s="2" t="inlineStr">
        <is>
          <t>%</t>
        </is>
      </c>
      <c r="M28" s="4">
        <f>J28*(1+K28/100)</f>
        <v/>
      </c>
      <c r="N28" s="6">
        <f>IF(M28=0,0,O28/M28)</f>
        <v/>
      </c>
      <c r="O28" s="4">
        <f>M28-J28</f>
        <v/>
      </c>
    </row>
    <row r="29">
      <c r="A29" s="2" t="inlineStr">
        <is>
          <t>09 Finishes</t>
        </is>
      </c>
      <c r="B29" s="2" t="inlineStr">
        <is>
          <t>9.803</t>
        </is>
      </c>
      <c r="C29" s="2" t="inlineStr">
        <is>
          <t>Interior Paint</t>
        </is>
      </c>
      <c r="D29" s="2" t="inlineStr">
        <is>
          <t>Prime + 2 coats, walls and ceiling</t>
        </is>
      </c>
      <c r="E29" s="3" t="n">
        <v>1</v>
      </c>
      <c r="F29" s="2" t="inlineStr">
        <is>
          <t>LS</t>
        </is>
      </c>
      <c r="G29" s="4" t="n">
        <v>1400</v>
      </c>
      <c r="H29" s="2" t="inlineStr">
        <is>
          <t>Subcontractor</t>
        </is>
      </c>
      <c r="I29" s="2" t="inlineStr">
        <is>
          <t>Estimate</t>
        </is>
      </c>
      <c r="J29" s="4">
        <f>E29*G29</f>
        <v/>
      </c>
      <c r="K29" s="5" t="n">
        <v>20</v>
      </c>
      <c r="L29" s="2" t="inlineStr">
        <is>
          <t>%</t>
        </is>
      </c>
      <c r="M29" s="4">
        <f>J29*(1+K29/100)</f>
        <v/>
      </c>
      <c r="N29" s="6">
        <f>IF(M29=0,0,O29/M29)</f>
        <v/>
      </c>
      <c r="O29" s="4">
        <f>M29-J29</f>
        <v/>
      </c>
    </row>
    <row r="30">
      <c r="A30" s="2" t="inlineStr">
        <is>
          <t>11 Equipment</t>
        </is>
      </c>
      <c r="B30" s="2" t="inlineStr">
        <is>
          <t>11.202</t>
        </is>
      </c>
      <c r="C30" s="2" t="inlineStr">
        <is>
          <t>Appliance Allowance</t>
        </is>
      </c>
      <c r="D30" s="2" t="inlineStr">
        <is>
          <t>Range, hood, DW, fridge, microwave</t>
        </is>
      </c>
      <c r="E30" s="3" t="n">
        <v>1</v>
      </c>
      <c r="F30" s="2" t="inlineStr">
        <is>
          <t>LOT</t>
        </is>
      </c>
      <c r="G30" s="4" t="n">
        <v>12000</v>
      </c>
      <c r="H30" s="2" t="inlineStr">
        <is>
          <t>Material</t>
        </is>
      </c>
      <c r="I30" s="2" t="inlineStr">
        <is>
          <t>Allowance</t>
        </is>
      </c>
      <c r="J30" s="4">
        <f>E30*G30</f>
        <v/>
      </c>
      <c r="K30" s="5" t="n">
        <v>20</v>
      </c>
      <c r="L30" s="2" t="inlineStr">
        <is>
          <t>%</t>
        </is>
      </c>
      <c r="M30" s="4">
        <f>J30*(1+K30/100)</f>
        <v/>
      </c>
      <c r="N30" s="6">
        <f>IF(M30=0,0,O30/M30)</f>
        <v/>
      </c>
      <c r="O30" s="4">
        <f>M30-J30</f>
        <v/>
      </c>
    </row>
    <row r="31">
      <c r="A31" s="2" t="inlineStr">
        <is>
          <t>12 Furnishings</t>
        </is>
      </c>
      <c r="B31" s="2" t="inlineStr">
        <is>
          <t>12.103</t>
        </is>
      </c>
      <c r="C31" s="2" t="inlineStr">
        <is>
          <t>Kitchen Cabinets – Shaker White</t>
        </is>
      </c>
      <c r="D31" s="2" t="inlineStr">
        <is>
          <t>Cabinetry supply &amp; install, soft-close</t>
        </is>
      </c>
      <c r="E31" s="3" t="n">
        <v>30</v>
      </c>
      <c r="F31" s="2" t="inlineStr">
        <is>
          <t>LF</t>
        </is>
      </c>
      <c r="G31" s="4" t="n">
        <v>650</v>
      </c>
      <c r="H31" s="2" t="inlineStr">
        <is>
          <t>Subcontractor</t>
        </is>
      </c>
      <c r="I31" s="2" t="inlineStr">
        <is>
          <t>Estimate</t>
        </is>
      </c>
      <c r="J31" s="4">
        <f>E31*G31</f>
        <v/>
      </c>
      <c r="K31" s="5" t="n">
        <v>20</v>
      </c>
      <c r="L31" s="2" t="inlineStr">
        <is>
          <t>%</t>
        </is>
      </c>
      <c r="M31" s="4">
        <f>J31*(1+K31/100)</f>
        <v/>
      </c>
      <c r="N31" s="6">
        <f>IF(M31=0,0,O31/M31)</f>
        <v/>
      </c>
      <c r="O31" s="4">
        <f>M31-J31</f>
        <v/>
      </c>
    </row>
    <row r="32">
      <c r="A32" s="2" t="inlineStr">
        <is>
          <t>12 Furnishings</t>
        </is>
      </c>
      <c r="B32" s="2" t="inlineStr">
        <is>
          <t>12.103</t>
        </is>
      </c>
      <c r="C32" s="2" t="inlineStr">
        <is>
          <t>Island Cabinets</t>
        </is>
      </c>
      <c r="D32" s="2" t="inlineStr">
        <is>
          <t>Base cabinets for island w/ seating side</t>
        </is>
      </c>
      <c r="E32" s="3" t="n">
        <v>8</v>
      </c>
      <c r="F32" s="2" t="inlineStr">
        <is>
          <t>LF</t>
        </is>
      </c>
      <c r="G32" s="4" t="n">
        <v>700</v>
      </c>
      <c r="H32" s="2" t="inlineStr">
        <is>
          <t>Subcontractor</t>
        </is>
      </c>
      <c r="I32" s="2" t="inlineStr">
        <is>
          <t>Estimate</t>
        </is>
      </c>
      <c r="J32" s="4">
        <f>E32*G32</f>
        <v/>
      </c>
      <c r="K32" s="5" t="n">
        <v>20</v>
      </c>
      <c r="L32" s="2" t="inlineStr">
        <is>
          <t>%</t>
        </is>
      </c>
      <c r="M32" s="4">
        <f>J32*(1+K32/100)</f>
        <v/>
      </c>
      <c r="N32" s="6">
        <f>IF(M32=0,0,O32/M32)</f>
        <v/>
      </c>
      <c r="O32" s="4">
        <f>M32-J32</f>
        <v/>
      </c>
    </row>
    <row r="33">
      <c r="A33" s="2" t="inlineStr">
        <is>
          <t>12 Furnishings</t>
        </is>
      </c>
      <c r="B33" s="2" t="inlineStr">
        <is>
          <t>12.103</t>
        </is>
      </c>
      <c r="C33" s="2" t="inlineStr">
        <is>
          <t>Quartz Countertops</t>
        </is>
      </c>
      <c r="D33" s="2" t="inlineStr">
        <is>
          <t>Supply &amp; install, perimeter + 4" splash</t>
        </is>
      </c>
      <c r="E33" s="3" t="n">
        <v>38</v>
      </c>
      <c r="F33" s="2" t="inlineStr">
        <is>
          <t>SF</t>
        </is>
      </c>
      <c r="G33" s="4" t="n">
        <v>150</v>
      </c>
      <c r="H33" s="2" t="inlineStr">
        <is>
          <t>Subcontractor</t>
        </is>
      </c>
      <c r="I33" s="2" t="inlineStr">
        <is>
          <t>Allowance</t>
        </is>
      </c>
      <c r="J33" s="4">
        <f>E33*G33</f>
        <v/>
      </c>
      <c r="K33" s="5" t="n">
        <v>20</v>
      </c>
      <c r="L33" s="2" t="inlineStr">
        <is>
          <t>%</t>
        </is>
      </c>
      <c r="M33" s="4">
        <f>J33*(1+K33/100)</f>
        <v/>
      </c>
      <c r="N33" s="6">
        <f>IF(M33=0,0,O33/M33)</f>
        <v/>
      </c>
      <c r="O33" s="4">
        <f>M33-J33</f>
        <v/>
      </c>
    </row>
    <row r="34">
      <c r="A34" s="2" t="inlineStr">
        <is>
          <t>12 Furnishings</t>
        </is>
      </c>
      <c r="B34" s="2" t="inlineStr">
        <is>
          <t>12.103</t>
        </is>
      </c>
      <c r="C34" s="2" t="inlineStr">
        <is>
          <t>Waterfall Edge Island Top</t>
        </is>
      </c>
      <c r="D34" s="2" t="inlineStr">
        <is>
          <t>Fabrication and install, waterfall sides</t>
        </is>
      </c>
      <c r="E34" s="3" t="n">
        <v>24</v>
      </c>
      <c r="F34" s="2" t="inlineStr">
        <is>
          <t>SF</t>
        </is>
      </c>
      <c r="G34" s="4" t="n">
        <v>220</v>
      </c>
      <c r="H34" s="2" t="inlineStr">
        <is>
          <t>Subcontractor</t>
        </is>
      </c>
      <c r="I34" s="2" t="inlineStr">
        <is>
          <t>Allowance</t>
        </is>
      </c>
      <c r="J34" s="4">
        <f>E34*G34</f>
        <v/>
      </c>
      <c r="K34" s="5" t="n">
        <v>20</v>
      </c>
      <c r="L34" s="2" t="inlineStr">
        <is>
          <t>%</t>
        </is>
      </c>
      <c r="M34" s="4">
        <f>J34*(1+K34/100)</f>
        <v/>
      </c>
      <c r="N34" s="6">
        <f>IF(M34=0,0,O34/M34)</f>
        <v/>
      </c>
      <c r="O34" s="4">
        <f>M34-J34</f>
        <v/>
      </c>
    </row>
    <row r="35">
      <c r="A35" s="2" t="inlineStr">
        <is>
          <t>22 Plumbing</t>
        </is>
      </c>
      <c r="B35" s="2" t="inlineStr">
        <is>
          <t>22.203</t>
        </is>
      </c>
      <c r="C35" s="2" t="inlineStr">
        <is>
          <t>Kitchen Plumbing</t>
        </is>
      </c>
      <c r="D35" s="2" t="inlineStr">
        <is>
          <t>Relocate sink rough-in, install sink/faucet</t>
        </is>
      </c>
      <c r="E35" s="3" t="n">
        <v>1</v>
      </c>
      <c r="F35" s="2" t="inlineStr">
        <is>
          <t>LS</t>
        </is>
      </c>
      <c r="G35" s="4" t="n">
        <v>2400</v>
      </c>
      <c r="H35" s="2" t="inlineStr">
        <is>
          <t>Subcontractor</t>
        </is>
      </c>
      <c r="I35" s="2" t="inlineStr">
        <is>
          <t>Estimate</t>
        </is>
      </c>
      <c r="J35" s="4">
        <f>E35*G35</f>
        <v/>
      </c>
      <c r="K35" s="5" t="n">
        <v>20</v>
      </c>
      <c r="L35" s="2" t="inlineStr">
        <is>
          <t>%</t>
        </is>
      </c>
      <c r="M35" s="4">
        <f>J35*(1+K35/100)</f>
        <v/>
      </c>
      <c r="N35" s="6">
        <f>IF(M35=0,0,O35/M35)</f>
        <v/>
      </c>
      <c r="O35" s="4">
        <f>M35-J35</f>
        <v/>
      </c>
    </row>
    <row r="36">
      <c r="A36" s="2" t="inlineStr">
        <is>
          <t>22 Plumbing</t>
        </is>
      </c>
      <c r="B36" s="2" t="inlineStr">
        <is>
          <t>22.203</t>
        </is>
      </c>
      <c r="C36" s="2" t="inlineStr">
        <is>
          <t>DW Supply &amp; Drain</t>
        </is>
      </c>
      <c r="D36" s="2" t="inlineStr">
        <is>
          <t>Connect water and drain for DW</t>
        </is>
      </c>
      <c r="E36" s="3" t="n">
        <v>1</v>
      </c>
      <c r="F36" s="2" t="inlineStr">
        <is>
          <t>LS</t>
        </is>
      </c>
      <c r="G36" s="4" t="n">
        <v>450</v>
      </c>
      <c r="H36" s="2" t="inlineStr">
        <is>
          <t>Subcontractor</t>
        </is>
      </c>
      <c r="I36" s="2" t="inlineStr">
        <is>
          <t>Estimate</t>
        </is>
      </c>
      <c r="J36" s="4">
        <f>E36*G36</f>
        <v/>
      </c>
      <c r="K36" s="5" t="n">
        <v>20</v>
      </c>
      <c r="L36" s="2" t="inlineStr">
        <is>
          <t>%</t>
        </is>
      </c>
      <c r="M36" s="4">
        <f>J36*(1+K36/100)</f>
        <v/>
      </c>
      <c r="N36" s="6">
        <f>IF(M36=0,0,O36/M36)</f>
        <v/>
      </c>
      <c r="O36" s="4">
        <f>M36-J36</f>
        <v/>
      </c>
    </row>
    <row r="37">
      <c r="A37" s="2" t="inlineStr">
        <is>
          <t>26 Electrical</t>
        </is>
      </c>
      <c r="B37" s="2" t="inlineStr">
        <is>
          <t>26.303</t>
        </is>
      </c>
      <c r="C37" s="2" t="inlineStr">
        <is>
          <t>Recessed Cans</t>
        </is>
      </c>
      <c r="D37" s="2" t="inlineStr">
        <is>
          <t>6" LED cans, supply &amp; install</t>
        </is>
      </c>
      <c r="E37" s="3" t="n">
        <v>8</v>
      </c>
      <c r="F37" s="2" t="inlineStr">
        <is>
          <t>EA</t>
        </is>
      </c>
      <c r="G37" s="4" t="n">
        <v>175</v>
      </c>
      <c r="H37" s="2" t="inlineStr">
        <is>
          <t>Subcontractor</t>
        </is>
      </c>
      <c r="I37" s="2" t="inlineStr">
        <is>
          <t>Allowance</t>
        </is>
      </c>
      <c r="J37" s="4">
        <f>E37*G37</f>
        <v/>
      </c>
      <c r="K37" s="5" t="n">
        <v>20</v>
      </c>
      <c r="L37" s="2" t="inlineStr">
        <is>
          <t>%</t>
        </is>
      </c>
      <c r="M37" s="4">
        <f>J37*(1+K37/100)</f>
        <v/>
      </c>
      <c r="N37" s="6">
        <f>IF(M37=0,0,O37/M37)</f>
        <v/>
      </c>
      <c r="O37" s="4">
        <f>M37-J37</f>
        <v/>
      </c>
    </row>
    <row r="38">
      <c r="A38" s="2" t="inlineStr">
        <is>
          <t>26 Electrical</t>
        </is>
      </c>
      <c r="B38" s="2" t="inlineStr">
        <is>
          <t>26.303</t>
        </is>
      </c>
      <c r="C38" s="2" t="inlineStr">
        <is>
          <t>Under-Cab Lighting</t>
        </is>
      </c>
      <c r="D38" s="2" t="inlineStr">
        <is>
          <t>LED strip lighting, hardwired</t>
        </is>
      </c>
      <c r="E38" s="3" t="n">
        <v>22</v>
      </c>
      <c r="F38" s="2" t="inlineStr">
        <is>
          <t>LF</t>
        </is>
      </c>
      <c r="G38" s="4" t="n">
        <v>55</v>
      </c>
      <c r="H38" s="2" t="inlineStr">
        <is>
          <t>Subcontractor</t>
        </is>
      </c>
      <c r="I38" s="2" t="inlineStr">
        <is>
          <t>Estimate</t>
        </is>
      </c>
      <c r="J38" s="4">
        <f>E38*G38</f>
        <v/>
      </c>
      <c r="K38" s="5" t="n">
        <v>20</v>
      </c>
      <c r="L38" s="2" t="inlineStr">
        <is>
          <t>%</t>
        </is>
      </c>
      <c r="M38" s="4">
        <f>J38*(1+K38/100)</f>
        <v/>
      </c>
      <c r="N38" s="6">
        <f>IF(M38=0,0,O38/M38)</f>
        <v/>
      </c>
      <c r="O38" s="4">
        <f>M38-J38</f>
        <v/>
      </c>
    </row>
    <row r="39">
      <c r="A39" s="2" t="inlineStr">
        <is>
          <t>26 Electrical</t>
        </is>
      </c>
      <c r="B39" s="2" t="inlineStr">
        <is>
          <t>26.303</t>
        </is>
      </c>
      <c r="C39" s="2" t="inlineStr">
        <is>
          <t>Island Pendants</t>
        </is>
      </c>
      <c r="D39" s="2" t="inlineStr">
        <is>
          <t>3 pendants, supply &amp; install</t>
        </is>
      </c>
      <c r="E39" s="3" t="n">
        <v>3</v>
      </c>
      <c r="F39" s="2" t="inlineStr">
        <is>
          <t>EA</t>
        </is>
      </c>
      <c r="G39" s="4" t="n">
        <v>420</v>
      </c>
      <c r="H39" s="2" t="inlineStr">
        <is>
          <t>Subcontractor</t>
        </is>
      </c>
      <c r="I39" s="2" t="inlineStr">
        <is>
          <t>Allowance</t>
        </is>
      </c>
      <c r="J39" s="4">
        <f>E39*G39</f>
        <v/>
      </c>
      <c r="K39" s="5" t="n">
        <v>20</v>
      </c>
      <c r="L39" s="2" t="inlineStr">
        <is>
          <t>%</t>
        </is>
      </c>
      <c r="M39" s="4">
        <f>J39*(1+K39/100)</f>
        <v/>
      </c>
      <c r="N39" s="6">
        <f>IF(M39=0,0,O39/M39)</f>
        <v/>
      </c>
      <c r="O39" s="4">
        <f>M39-J39</f>
        <v/>
      </c>
    </row>
    <row r="40">
      <c r="A40" s="2" t="inlineStr">
        <is>
          <t>26 Electrical</t>
        </is>
      </c>
      <c r="B40" s="2" t="inlineStr">
        <is>
          <t>26.203</t>
        </is>
      </c>
      <c r="C40" s="2" t="inlineStr">
        <is>
          <t>Kitchen Device Work</t>
        </is>
      </c>
      <c r="D40" s="2" t="inlineStr">
        <is>
          <t>Relocate/add outlets &amp; switches, GFCI at counters</t>
        </is>
      </c>
      <c r="E40" s="3" t="n">
        <v>1</v>
      </c>
      <c r="F40" s="2" t="inlineStr">
        <is>
          <t>LS</t>
        </is>
      </c>
      <c r="G40" s="4" t="n">
        <v>850</v>
      </c>
      <c r="H40" s="2" t="inlineStr">
        <is>
          <t>Subcontractor</t>
        </is>
      </c>
      <c r="I40" s="2" t="inlineStr">
        <is>
          <t>Estimate</t>
        </is>
      </c>
      <c r="J40" s="4">
        <f>E40*G40</f>
        <v/>
      </c>
      <c r="K40" s="5" t="n">
        <v>20</v>
      </c>
      <c r="L40" s="2" t="inlineStr">
        <is>
          <t>%</t>
        </is>
      </c>
      <c r="M40" s="4">
        <f>J40*(1+K40/100)</f>
        <v/>
      </c>
      <c r="N40" s="6">
        <f>IF(M40=0,0,O40/M40)</f>
        <v/>
      </c>
      <c r="O40" s="4">
        <f>M40-J40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2026-04-24T18:42:53Z</dcterms:created>
  <dcterms:modified xsi:type="dcterms:W3CDTF">2026-04-24T18:49:44Z</dcterms:modified>
</cp:coreProperties>
</file>